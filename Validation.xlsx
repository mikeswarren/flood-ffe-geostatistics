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05"/>
  <workbookPr defaultThemeVersion="166925"/>
  <xr:revisionPtr revIDLastSave="0" documentId="11_5243B11B92EBF2C8EC7FC3C64D3278EF320E2F4F" xr6:coauthVersionLast="44" xr6:coauthVersionMax="44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7" i="1" l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6" i="1"/>
  <c r="K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6" i="1"/>
  <c r="G6" i="1" s="1"/>
</calcChain>
</file>

<file path=xl/sharedStrings.xml><?xml version="1.0" encoding="utf-8"?>
<sst xmlns="http://schemas.openxmlformats.org/spreadsheetml/2006/main" count="36" uniqueCount="32">
  <si>
    <t>Michael Warren</t>
  </si>
  <si>
    <t>Independent Study</t>
  </si>
  <si>
    <t>Emperical Bayesian Kriging</t>
  </si>
  <si>
    <t>CoKriging</t>
  </si>
  <si>
    <t>Comments</t>
  </si>
  <si>
    <t>Address</t>
  </si>
  <si>
    <t>Lat</t>
  </si>
  <si>
    <t>Lon</t>
  </si>
  <si>
    <t>EC Value (ft)</t>
  </si>
  <si>
    <t>Predicted FFE (ft)</t>
  </si>
  <si>
    <t>Absolute Error (ft)</t>
  </si>
  <si>
    <t>Relative Error (%)</t>
  </si>
  <si>
    <t>Model Error at Point (ft)</t>
  </si>
  <si>
    <t>4 FOWLER AVE</t>
  </si>
  <si>
    <t xml:space="preserve">Elevation was extracted from 76.4025250°W 36.9976775°N, Need to Extract By mask DEM and Average, </t>
  </si>
  <si>
    <t>621 GREENLAWN AVE</t>
  </si>
  <si>
    <t>1647 BRIARFIELD RD</t>
  </si>
  <si>
    <t>921 GLENROCK DR</t>
  </si>
  <si>
    <t>25 BRIAR DR</t>
  </si>
  <si>
    <t>106 BRIAR DR</t>
  </si>
  <si>
    <t>4 MILLICENT CT</t>
  </si>
  <si>
    <t>13 SHERALYN PL</t>
  </si>
  <si>
    <t>17 BIG BETHEL RD</t>
  </si>
  <si>
    <t>29 BUTLER DR</t>
  </si>
  <si>
    <t>31 BUTLER DR</t>
  </si>
  <si>
    <t>112 ETHEL DR</t>
  </si>
  <si>
    <t>111 BRIARWOOD DR</t>
  </si>
  <si>
    <t>116 ARROLLTON DR</t>
  </si>
  <si>
    <t>307 DULUTH CT</t>
  </si>
  <si>
    <t>324 JOYNES RD</t>
  </si>
  <si>
    <t>7407 WICKHAM AVE</t>
  </si>
  <si>
    <t>4915 W MERCURY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</si>
</sst>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14" fontId="0" fillId="0" borderId="0" xfId="0" applyNumberFormat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4" xfId="0" applyNumberFormat="1" applyBorder="1"/>
    <xf numFmtId="164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zoomScaleNormal="100" workbookViewId="0">
      <selection activeCell="J18" sqref="J18"/>
    </sheetView>
  </sheetViews>
  <sheetFormatPr defaultRowHeight="12.75"/>
  <cols>
    <col min="1" max="1" width="23.5703125" customWidth="1"/>
    <col min="2" max="2" width="11.5703125"/>
    <col min="3" max="3" width="16.5703125" customWidth="1"/>
    <col min="4" max="4" width="18.140625" bestFit="1" customWidth="1"/>
    <col min="5" max="5" width="16" bestFit="1" customWidth="1"/>
    <col min="6" max="6" width="17" bestFit="1" customWidth="1"/>
    <col min="7" max="7" width="16.85546875" bestFit="1" customWidth="1"/>
    <col min="8" max="8" width="22.5703125" bestFit="1" customWidth="1"/>
    <col min="9" max="9" width="16.85546875" bestFit="1" customWidth="1"/>
    <col min="10" max="10" width="17" bestFit="1" customWidth="1"/>
    <col min="11" max="11" width="15.7109375" bestFit="1" customWidth="1"/>
    <col min="12" max="12" width="22.5703125" bestFit="1" customWidth="1"/>
    <col min="13" max="13" width="12.85546875" customWidth="1"/>
    <col min="14" max="1029" width="11.5703125"/>
  </cols>
  <sheetData>
    <row r="1" spans="1:16">
      <c r="A1" t="s">
        <v>0</v>
      </c>
    </row>
    <row r="2" spans="1:16">
      <c r="A2" s="2">
        <v>43685</v>
      </c>
    </row>
    <row r="3" spans="1:16">
      <c r="A3" t="s">
        <v>1</v>
      </c>
    </row>
    <row r="4" spans="1:16">
      <c r="E4" s="4" t="s">
        <v>2</v>
      </c>
      <c r="F4" s="5"/>
      <c r="G4" s="5"/>
      <c r="H4" s="5"/>
      <c r="I4" s="4" t="s">
        <v>3</v>
      </c>
      <c r="J4" s="5"/>
      <c r="K4" s="5"/>
      <c r="L4" s="6"/>
      <c r="P4" t="s">
        <v>4</v>
      </c>
    </row>
    <row r="5" spans="1:16">
      <c r="A5" s="3" t="s">
        <v>5</v>
      </c>
      <c r="B5" s="3" t="s">
        <v>6</v>
      </c>
      <c r="C5" s="3" t="s">
        <v>7</v>
      </c>
      <c r="D5" s="3" t="s">
        <v>8</v>
      </c>
      <c r="E5" s="7" t="s">
        <v>9</v>
      </c>
      <c r="F5" s="8" t="s">
        <v>10</v>
      </c>
      <c r="G5" s="8" t="s">
        <v>11</v>
      </c>
      <c r="H5" s="8" t="s">
        <v>12</v>
      </c>
      <c r="I5" s="7" t="s">
        <v>9</v>
      </c>
      <c r="J5" s="8" t="s">
        <v>10</v>
      </c>
      <c r="K5" s="8" t="s">
        <v>11</v>
      </c>
      <c r="L5" s="9" t="s">
        <v>12</v>
      </c>
      <c r="M5" s="1"/>
      <c r="N5" s="1"/>
    </row>
    <row r="6" spans="1:16">
      <c r="A6" t="s">
        <v>13</v>
      </c>
      <c r="B6">
        <v>36.997537000000001</v>
      </c>
      <c r="C6">
        <v>-76.402298000000002</v>
      </c>
      <c r="D6">
        <v>11.6</v>
      </c>
      <c r="E6" s="14">
        <v>11.656046999999999</v>
      </c>
      <c r="F6" s="10">
        <f>ABS(D6-E6)</f>
        <v>5.6046999999999514E-2</v>
      </c>
      <c r="G6" s="10">
        <f>(F6/D6) *100</f>
        <v>0.48316379310344409</v>
      </c>
      <c r="H6" s="10">
        <v>2.8625919999999998</v>
      </c>
      <c r="I6" s="14">
        <v>11.213995000000001</v>
      </c>
      <c r="J6" s="10">
        <f>ABS(D6-I6)</f>
        <v>0.38600499999999904</v>
      </c>
      <c r="K6" s="10">
        <f>(J6/D6) * 100</f>
        <v>3.3276293103448191</v>
      </c>
      <c r="L6" s="11">
        <v>2.5260590000000001</v>
      </c>
      <c r="P6" t="s">
        <v>14</v>
      </c>
    </row>
    <row r="7" spans="1:16">
      <c r="A7" t="s">
        <v>15</v>
      </c>
      <c r="B7">
        <v>36.998254000000003</v>
      </c>
      <c r="C7">
        <v>-76.402807999999993</v>
      </c>
      <c r="D7">
        <v>12.515000000000001</v>
      </c>
      <c r="E7" s="14">
        <v>12.270536</v>
      </c>
      <c r="F7" s="10">
        <f t="shared" ref="F7:F23" si="0">ABS(D7-E7)</f>
        <v>0.24446400000000068</v>
      </c>
      <c r="G7" s="10">
        <f t="shared" ref="G7:G23" si="1">(F7/D7) *100</f>
        <v>1.9533679584498655</v>
      </c>
      <c r="H7" s="10">
        <v>3.09537</v>
      </c>
      <c r="I7" s="14">
        <v>11.897136</v>
      </c>
      <c r="J7" s="10">
        <f t="shared" ref="J7:J23" si="2">ABS(D7-I7)</f>
        <v>0.61786400000000086</v>
      </c>
      <c r="K7" s="10">
        <f t="shared" ref="K7:K23" si="3">(J7/D7) * 100</f>
        <v>4.9369876148621721</v>
      </c>
      <c r="L7" s="11">
        <v>2.789504</v>
      </c>
    </row>
    <row r="8" spans="1:16">
      <c r="A8" t="s">
        <v>16</v>
      </c>
      <c r="B8">
        <v>37.021422000000001</v>
      </c>
      <c r="C8">
        <v>-76.395765999999995</v>
      </c>
      <c r="D8">
        <v>7.44</v>
      </c>
      <c r="E8" s="14">
        <v>14.269124</v>
      </c>
      <c r="F8" s="10">
        <f t="shared" si="0"/>
        <v>6.8291239999999993</v>
      </c>
      <c r="G8" s="10">
        <f t="shared" si="1"/>
        <v>91.78930107526881</v>
      </c>
      <c r="H8" s="10">
        <v>3.2049989999999999</v>
      </c>
      <c r="I8" s="14">
        <v>14.323002000000001</v>
      </c>
      <c r="J8" s="10">
        <f t="shared" si="2"/>
        <v>6.8830020000000003</v>
      </c>
      <c r="K8" s="10">
        <f t="shared" si="3"/>
        <v>92.513467741935486</v>
      </c>
      <c r="L8" s="11">
        <v>3.8192870000000001</v>
      </c>
    </row>
    <row r="9" spans="1:16">
      <c r="A9" t="s">
        <v>17</v>
      </c>
      <c r="B9">
        <v>37.021034999999998</v>
      </c>
      <c r="C9">
        <v>-76.021034999999998</v>
      </c>
      <c r="D9">
        <v>9.8019999999999996</v>
      </c>
      <c r="E9" s="14">
        <v>15.207376999999999</v>
      </c>
      <c r="F9" s="10">
        <f t="shared" si="0"/>
        <v>5.4053769999999997</v>
      </c>
      <c r="G9" s="10">
        <f t="shared" si="1"/>
        <v>55.145653948173845</v>
      </c>
      <c r="H9" s="10">
        <v>2.408757</v>
      </c>
      <c r="I9" s="14">
        <v>15.884919</v>
      </c>
      <c r="J9" s="10">
        <f t="shared" si="2"/>
        <v>6.0829190000000004</v>
      </c>
      <c r="K9" s="10">
        <f t="shared" si="3"/>
        <v>62.057937155682517</v>
      </c>
      <c r="L9" s="11">
        <v>3.9266999999999999</v>
      </c>
    </row>
    <row r="10" spans="1:16">
      <c r="A10" t="s">
        <v>18</v>
      </c>
      <c r="B10">
        <v>37.022399</v>
      </c>
      <c r="C10">
        <v>-76.400193999999999</v>
      </c>
      <c r="D10">
        <v>8.6020000000000003</v>
      </c>
      <c r="E10" s="14">
        <v>15.264051</v>
      </c>
      <c r="F10" s="10">
        <f t="shared" si="0"/>
        <v>6.6620509999999999</v>
      </c>
      <c r="G10" s="10">
        <f t="shared" si="1"/>
        <v>77.447698209718666</v>
      </c>
      <c r="H10" s="10">
        <v>2.4149609999999999</v>
      </c>
      <c r="I10" s="14">
        <v>16.421711999999999</v>
      </c>
      <c r="J10" s="10">
        <f t="shared" si="2"/>
        <v>7.8197119999999991</v>
      </c>
      <c r="K10" s="10">
        <f t="shared" si="3"/>
        <v>90.905742850499877</v>
      </c>
      <c r="L10" s="11">
        <v>3.970825</v>
      </c>
    </row>
    <row r="11" spans="1:16">
      <c r="A11" t="s">
        <v>19</v>
      </c>
      <c r="B11">
        <v>37.023138000000003</v>
      </c>
      <c r="C11">
        <v>-76.399546999999998</v>
      </c>
      <c r="D11">
        <v>12.88</v>
      </c>
      <c r="E11" s="14">
        <v>15.25137</v>
      </c>
      <c r="F11" s="10">
        <f t="shared" si="0"/>
        <v>2.3713699999999989</v>
      </c>
      <c r="G11" s="10">
        <f t="shared" si="1"/>
        <v>18.411257763975144</v>
      </c>
      <c r="H11" s="10">
        <v>2.4269379999999998</v>
      </c>
      <c r="I11" s="14">
        <v>16.318131000000001</v>
      </c>
      <c r="J11" s="10">
        <f t="shared" si="2"/>
        <v>3.4381310000000003</v>
      </c>
      <c r="K11" s="10">
        <f t="shared" si="3"/>
        <v>26.693563664596276</v>
      </c>
      <c r="L11" s="11">
        <v>4.037585</v>
      </c>
    </row>
    <row r="12" spans="1:16">
      <c r="A12" t="s">
        <v>20</v>
      </c>
      <c r="B12">
        <v>37.023764999999997</v>
      </c>
      <c r="C12">
        <v>-76.410511</v>
      </c>
      <c r="D12">
        <v>11.5</v>
      </c>
      <c r="E12" s="14">
        <v>13.982842</v>
      </c>
      <c r="F12" s="10">
        <f t="shared" si="0"/>
        <v>2.4828419999999998</v>
      </c>
      <c r="G12" s="10">
        <f t="shared" si="1"/>
        <v>21.589930434782605</v>
      </c>
      <c r="H12" s="10">
        <v>2.69719</v>
      </c>
      <c r="I12" s="14">
        <v>13.579727</v>
      </c>
      <c r="J12" s="10">
        <f t="shared" si="2"/>
        <v>2.0797270000000001</v>
      </c>
      <c r="K12" s="10">
        <f t="shared" si="3"/>
        <v>18.084582608695655</v>
      </c>
      <c r="L12" s="11">
        <v>3.7403040000000001</v>
      </c>
    </row>
    <row r="13" spans="1:16">
      <c r="A13" t="s">
        <v>21</v>
      </c>
      <c r="B13">
        <v>37.023260999999998</v>
      </c>
      <c r="C13">
        <v>-76.410803999999999</v>
      </c>
      <c r="D13">
        <v>13</v>
      </c>
      <c r="E13" s="14">
        <v>13.736050000000001</v>
      </c>
      <c r="F13" s="10">
        <f t="shared" si="0"/>
        <v>0.73605000000000054</v>
      </c>
      <c r="G13" s="10">
        <f t="shared" si="1"/>
        <v>5.6619230769230811</v>
      </c>
      <c r="H13" s="10">
        <v>2.8056489999999998</v>
      </c>
      <c r="I13" s="14">
        <v>13.572011</v>
      </c>
      <c r="J13" s="10">
        <f t="shared" si="2"/>
        <v>0.57201099999999983</v>
      </c>
      <c r="K13" s="10">
        <f t="shared" si="3"/>
        <v>4.400084615384614</v>
      </c>
      <c r="L13" s="11">
        <v>3.7240709999999999</v>
      </c>
    </row>
    <row r="14" spans="1:16">
      <c r="A14" t="s">
        <v>22</v>
      </c>
      <c r="B14">
        <v>37.017938790000002</v>
      </c>
      <c r="C14">
        <v>-76.413564789999995</v>
      </c>
      <c r="D14">
        <v>10.199999999999999</v>
      </c>
      <c r="E14" s="14">
        <v>13.452159999999999</v>
      </c>
      <c r="F14" s="10">
        <f t="shared" si="0"/>
        <v>3.2521599999999999</v>
      </c>
      <c r="G14" s="10">
        <f t="shared" si="1"/>
        <v>31.883921568627454</v>
      </c>
      <c r="H14" s="10">
        <v>2.6614680000000002</v>
      </c>
      <c r="I14" s="14">
        <v>13.299381</v>
      </c>
      <c r="J14" s="10">
        <f t="shared" si="2"/>
        <v>3.0993810000000011</v>
      </c>
      <c r="K14" s="10">
        <f t="shared" si="3"/>
        <v>30.386088235294128</v>
      </c>
      <c r="L14" s="11">
        <v>3.484575</v>
      </c>
    </row>
    <row r="15" spans="1:16">
      <c r="A15" t="s">
        <v>23</v>
      </c>
      <c r="B15">
        <v>37.018533159999997</v>
      </c>
      <c r="C15">
        <v>-76.413060239999993</v>
      </c>
      <c r="D15">
        <v>13.081</v>
      </c>
      <c r="E15" s="14">
        <v>13.313786</v>
      </c>
      <c r="F15" s="10">
        <f t="shared" si="0"/>
        <v>0.23278600000000083</v>
      </c>
      <c r="G15" s="10">
        <f t="shared" si="1"/>
        <v>1.7795734271080257</v>
      </c>
      <c r="H15" s="10">
        <v>2.7662870000000002</v>
      </c>
      <c r="I15" s="14">
        <v>13.310242000000001</v>
      </c>
      <c r="J15" s="10">
        <f t="shared" si="2"/>
        <v>0.22924200000000106</v>
      </c>
      <c r="K15" s="10">
        <f t="shared" si="3"/>
        <v>1.7524806971944122</v>
      </c>
      <c r="L15" s="11">
        <v>3.5478730000000001</v>
      </c>
    </row>
    <row r="16" spans="1:16">
      <c r="A16" t="s">
        <v>24</v>
      </c>
      <c r="B16">
        <v>37.018738390000003</v>
      </c>
      <c r="C16">
        <v>-76.413264229999996</v>
      </c>
      <c r="D16">
        <v>10.811</v>
      </c>
      <c r="E16" s="14">
        <v>13.249715999999999</v>
      </c>
      <c r="F16" s="10">
        <f t="shared" si="0"/>
        <v>2.4387159999999994</v>
      </c>
      <c r="G16" s="10">
        <f t="shared" si="1"/>
        <v>22.5577282397558</v>
      </c>
      <c r="H16" s="10">
        <v>2.7793700000000001</v>
      </c>
      <c r="I16" s="14">
        <v>13.260574</v>
      </c>
      <c r="J16" s="10">
        <f t="shared" si="2"/>
        <v>2.4495740000000001</v>
      </c>
      <c r="K16" s="10">
        <f t="shared" si="3"/>
        <v>22.658162982147815</v>
      </c>
      <c r="L16" s="11">
        <v>3.5466410000000002</v>
      </c>
    </row>
    <row r="17" spans="1:12">
      <c r="A17" t="s">
        <v>25</v>
      </c>
      <c r="B17">
        <v>37.018689100000003</v>
      </c>
      <c r="C17">
        <v>-76.415117710000004</v>
      </c>
      <c r="D17">
        <v>13.6</v>
      </c>
      <c r="E17" s="14">
        <v>13.126287</v>
      </c>
      <c r="F17" s="10">
        <f t="shared" si="0"/>
        <v>0.47371300000000005</v>
      </c>
      <c r="G17" s="10">
        <f t="shared" si="1"/>
        <v>3.4831838235294121</v>
      </c>
      <c r="H17" s="10">
        <v>2.6812909999999999</v>
      </c>
      <c r="I17" s="14">
        <v>12.708691999999999</v>
      </c>
      <c r="J17" s="10">
        <f t="shared" si="2"/>
        <v>0.89130800000000043</v>
      </c>
      <c r="K17" s="10">
        <f t="shared" si="3"/>
        <v>6.5537352941176508</v>
      </c>
      <c r="L17" s="11">
        <v>3.4112979999999999</v>
      </c>
    </row>
    <row r="18" spans="1:12">
      <c r="A18" t="s">
        <v>26</v>
      </c>
      <c r="B18">
        <v>37.018078010000004</v>
      </c>
      <c r="C18">
        <v>-76.416395339999994</v>
      </c>
      <c r="D18">
        <v>9.1999999999999993</v>
      </c>
      <c r="E18" s="14">
        <v>13.103804999999999</v>
      </c>
      <c r="F18" s="10">
        <f t="shared" si="0"/>
        <v>3.9038050000000002</v>
      </c>
      <c r="G18" s="10">
        <f t="shared" si="1"/>
        <v>42.432663043478264</v>
      </c>
      <c r="H18" s="10">
        <v>2.5249009999999998</v>
      </c>
      <c r="I18" s="14">
        <v>12.522085000000001</v>
      </c>
      <c r="J18" s="10">
        <f t="shared" si="2"/>
        <v>3.3220850000000013</v>
      </c>
      <c r="K18" s="10">
        <f t="shared" si="3"/>
        <v>36.109619565217407</v>
      </c>
      <c r="L18" s="11">
        <v>3.236999</v>
      </c>
    </row>
    <row r="19" spans="1:12">
      <c r="A19" t="s">
        <v>27</v>
      </c>
      <c r="B19">
        <v>37.018851120000001</v>
      </c>
      <c r="C19">
        <v>-76.417042699999996</v>
      </c>
      <c r="D19">
        <v>9.9</v>
      </c>
      <c r="E19" s="14">
        <v>12.741265</v>
      </c>
      <c r="F19" s="10">
        <f t="shared" si="0"/>
        <v>2.8412649999999999</v>
      </c>
      <c r="G19" s="10">
        <f t="shared" si="1"/>
        <v>28.69964646464646</v>
      </c>
      <c r="H19" s="10">
        <v>2.6008840000000002</v>
      </c>
      <c r="I19" s="14">
        <v>12.29379</v>
      </c>
      <c r="J19" s="10">
        <f t="shared" si="2"/>
        <v>2.3937899999999992</v>
      </c>
      <c r="K19" s="10">
        <f t="shared" si="3"/>
        <v>24.179696969696959</v>
      </c>
      <c r="L19" s="11">
        <v>3.2212589999999999</v>
      </c>
    </row>
    <row r="20" spans="1:12">
      <c r="A20" t="s">
        <v>28</v>
      </c>
      <c r="B20">
        <v>37.020215049999997</v>
      </c>
      <c r="C20">
        <v>-76.416185810000002</v>
      </c>
      <c r="D20">
        <v>8.8109999999999999</v>
      </c>
      <c r="E20" s="14">
        <v>12.835381999999999</v>
      </c>
      <c r="F20" s="10">
        <f t="shared" si="0"/>
        <v>4.0243819999999992</v>
      </c>
      <c r="G20" s="10">
        <f t="shared" si="1"/>
        <v>45.674520485756432</v>
      </c>
      <c r="H20" s="10">
        <v>2.776383</v>
      </c>
      <c r="I20" s="14">
        <v>12.328894999999999</v>
      </c>
      <c r="J20" s="10">
        <f t="shared" si="2"/>
        <v>3.5178949999999993</v>
      </c>
      <c r="K20" s="10">
        <f t="shared" si="3"/>
        <v>39.926171830666206</v>
      </c>
      <c r="L20" s="11">
        <v>3.3644340000000001</v>
      </c>
    </row>
    <row r="21" spans="1:12">
      <c r="A21" t="s">
        <v>29</v>
      </c>
      <c r="B21">
        <v>37.020854470000003</v>
      </c>
      <c r="C21">
        <v>-76.417892760000001</v>
      </c>
      <c r="D21">
        <v>9.4109999999999996</v>
      </c>
      <c r="E21" s="14">
        <v>10.920242</v>
      </c>
      <c r="F21" s="10">
        <f t="shared" si="0"/>
        <v>1.5092420000000004</v>
      </c>
      <c r="G21" s="10">
        <f t="shared" si="1"/>
        <v>16.036999256189571</v>
      </c>
      <c r="H21" s="10">
        <v>2.4096959999999998</v>
      </c>
      <c r="I21" s="14">
        <v>11.207424</v>
      </c>
      <c r="J21" s="10">
        <f t="shared" si="2"/>
        <v>1.796424</v>
      </c>
      <c r="K21" s="10">
        <f t="shared" si="3"/>
        <v>19.088555945170548</v>
      </c>
      <c r="L21" s="11">
        <v>3.2750439999999998</v>
      </c>
    </row>
    <row r="22" spans="1:12">
      <c r="A22" t="s">
        <v>30</v>
      </c>
      <c r="B22">
        <v>37.016964919999999</v>
      </c>
      <c r="C22">
        <v>-76.433657690000004</v>
      </c>
      <c r="D22">
        <v>12</v>
      </c>
      <c r="E22" s="14">
        <v>10.465674</v>
      </c>
      <c r="F22" s="10">
        <f t="shared" si="0"/>
        <v>1.5343260000000001</v>
      </c>
      <c r="G22" s="10">
        <f t="shared" si="1"/>
        <v>12.786050000000001</v>
      </c>
      <c r="H22" s="10">
        <v>0.28221800000000002</v>
      </c>
      <c r="I22" s="14">
        <v>10.482305</v>
      </c>
      <c r="J22" s="10">
        <f t="shared" si="2"/>
        <v>1.5176949999999998</v>
      </c>
      <c r="K22" s="10">
        <f t="shared" si="3"/>
        <v>12.647458333333331</v>
      </c>
      <c r="L22" s="11">
        <v>0.67717099999999997</v>
      </c>
    </row>
    <row r="23" spans="1:12">
      <c r="A23" t="s">
        <v>31</v>
      </c>
      <c r="B23">
        <v>37.023534140000002</v>
      </c>
      <c r="C23">
        <v>-76.434715870000005</v>
      </c>
      <c r="D23">
        <v>15.71</v>
      </c>
      <c r="E23" s="15">
        <v>14.182342999999999</v>
      </c>
      <c r="F23" s="12">
        <f t="shared" si="0"/>
        <v>1.5276570000000014</v>
      </c>
      <c r="G23" s="12">
        <f t="shared" si="1"/>
        <v>9.7241056651814226</v>
      </c>
      <c r="H23" s="12">
        <v>1.5177929999999999</v>
      </c>
      <c r="I23" s="15">
        <v>13.926284000000001</v>
      </c>
      <c r="J23" s="12">
        <f t="shared" si="2"/>
        <v>1.7837160000000001</v>
      </c>
      <c r="K23" s="12">
        <f t="shared" si="3"/>
        <v>11.354016549968172</v>
      </c>
      <c r="L23" s="13">
        <v>2.8838050000000002</v>
      </c>
    </row>
  </sheetData>
  <mergeCells count="2">
    <mergeCell ref="I4:L4"/>
    <mergeCell ref="E4:H4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Warren</cp:lastModifiedBy>
  <cp:revision>4</cp:revision>
  <dcterms:created xsi:type="dcterms:W3CDTF">2019-08-09T00:33:14Z</dcterms:created>
  <dcterms:modified xsi:type="dcterms:W3CDTF">2019-08-09T08:17:39Z</dcterms:modified>
  <cp:category/>
  <cp:contentStatus/>
</cp:coreProperties>
</file>